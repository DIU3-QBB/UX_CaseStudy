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Matriz de Usuarios" sheetId="1" r:id="rId4"/>
    <sheet state="visible" name="2. Rendimiento de Tareas" sheetId="2" r:id="rId5"/>
    <sheet state="visible" name="3. Cuestionario Escala SUS" sheetId="3" r:id="rId6"/>
    <sheet state="visible" name="4. Accesibilidad Caso B" sheetId="4" r:id="rId7"/>
  </sheets>
  <definedNames/>
  <calcPr/>
  <extLst>
    <ext uri="GoogleSheetsCustomDataVersion2">
      <go:sheetsCustomData xmlns:go="http://customooxmlschemas.google.com/" r:id="rId8" roundtripDataChecksum="PXQI7Ir8yR6NkaUtIn2c2wUX2ERmM4swAa8IFW/hHMQ="/>
    </ext>
  </extLst>
</workbook>
</file>

<file path=xl/sharedStrings.xml><?xml version="1.0" encoding="utf-8"?>
<sst xmlns="http://schemas.openxmlformats.org/spreadsheetml/2006/main" count="330" uniqueCount="167">
  <si>
    <t>PLAN DE RECLUTAMIENTO Y ASIGNACIÓN (A/B TESTING)</t>
  </si>
  <si>
    <t>Distribución metodológica: 3 usuarios exclusivos para la Web A (Raíces) y 7 usuarios exclusivos para la Web B (Cafetería Wax &amp; Wayne).</t>
  </si>
  <si>
    <t>ID Participante</t>
  </si>
  <si>
    <t>Edad</t>
  </si>
  <si>
    <t>Género</t>
  </si>
  <si>
    <t>Competencia Digital</t>
  </si>
  <si>
    <t>Dispositivo / Resolución</t>
  </si>
  <si>
    <t>Iluminación de la Sala</t>
  </si>
  <si>
    <t>Corrección Visual</t>
  </si>
  <si>
    <t>Conocimiento Previo Apps</t>
  </si>
  <si>
    <t>Rol de Usuario</t>
  </si>
  <si>
    <t>Caso Asignado</t>
  </si>
  <si>
    <t>Orden (Contrabalanceo)</t>
  </si>
  <si>
    <t>P01</t>
  </si>
  <si>
    <t>Masculino</t>
  </si>
  <si>
    <t>Alto</t>
  </si>
  <si>
    <t>Portátil 14" (1920x1080)</t>
  </si>
  <si>
    <t>Luz Artificial LED</t>
  </si>
  <si>
    <t>Ninguna</t>
  </si>
  <si>
    <t>Frecuenta restauración gourmet</t>
  </si>
  <si>
    <t>Estudiante</t>
  </si>
  <si>
    <t>Caso A (Raíces)</t>
  </si>
  <si>
    <t>Único (A)</t>
  </si>
  <si>
    <t>P02</t>
  </si>
  <si>
    <t>Femenino</t>
  </si>
  <si>
    <t>Luz Natural Indirecta</t>
  </si>
  <si>
    <t>Gafas Miopía</t>
  </si>
  <si>
    <t>Usuario habitual de apps web</t>
  </si>
  <si>
    <t>P03</t>
  </si>
  <si>
    <t>Bajo</t>
  </si>
  <si>
    <t>Luz Artificial Tenue</t>
  </si>
  <si>
    <t>Usa webs pocas webs de reserva</t>
  </si>
  <si>
    <t>P11</t>
  </si>
  <si>
    <t>Consumidor frecuente de aplicaciones web</t>
  </si>
  <si>
    <t>Usuario Final</t>
  </si>
  <si>
    <t>P12</t>
  </si>
  <si>
    <t>Medio</t>
  </si>
  <si>
    <t>Luz Natural indirecta</t>
  </si>
  <si>
    <t>Usuario frecuente de apps de delivery</t>
  </si>
  <si>
    <t>P04</t>
  </si>
  <si>
    <t>Luz Natural Directa</t>
  </si>
  <si>
    <t>Lentillas</t>
  </si>
  <si>
    <t>Usa webs de restauración</t>
  </si>
  <si>
    <t>Caso B (Wax &amp; Wayne)</t>
  </si>
  <si>
    <t>Único (B)</t>
  </si>
  <si>
    <t>P05</t>
  </si>
  <si>
    <t>Frecuenta cafeterías especialidad</t>
  </si>
  <si>
    <t>Desarrollador</t>
  </si>
  <si>
    <t>P06</t>
  </si>
  <si>
    <t>Bajo conocimiento técnico</t>
  </si>
  <si>
    <t>P07</t>
  </si>
  <si>
    <t>Nativo digital</t>
  </si>
  <si>
    <t>P08</t>
  </si>
  <si>
    <t>Uso diario de las aplicaciones web</t>
  </si>
  <si>
    <t>P09</t>
  </si>
  <si>
    <t>P10</t>
  </si>
  <si>
    <t>Luz Artificial Brillante</t>
  </si>
  <si>
    <t>Usa internet solo para redes</t>
  </si>
  <si>
    <t>MÉTRICAS DE RENDIMIENTO Y LOGRO DE MISIONES</t>
  </si>
  <si>
    <t>Evaluación del éxito de las tareas vinculada a las inconsistencias tipográficas, ausencia de buscador y rotura de botones.</t>
  </si>
  <si>
    <t>ID Usuario</t>
  </si>
  <si>
    <t>Caso</t>
  </si>
  <si>
    <t>Tarea 1 (T01) - Éxito</t>
  </si>
  <si>
    <t>T01 Observación</t>
  </si>
  <si>
    <t>Tarea 2 (T02) - Éxito</t>
  </si>
  <si>
    <t>T02 Observación</t>
  </si>
  <si>
    <t>Tarea 3 (T03) - Éxito</t>
  </si>
  <si>
    <t>T03 Observación</t>
  </si>
  <si>
    <t>Caso A</t>
  </si>
  <si>
    <t>Completada sin ayuda</t>
  </si>
  <si>
    <t>Fijación clara en el logo y contador de stock disponible de hamburguesas.</t>
  </si>
  <si>
    <t>Localiza de inmediato los badges de trazabilidad e ingredientes Km 0.</t>
  </si>
  <si>
    <t>Completa la reserva molecular interactiva rápido.</t>
  </si>
  <si>
    <t>Exploración limpia. Atrae el contraste oscuro y la tipografía Playfair.</t>
  </si>
  <si>
    <t>Encuentra la composición y los alérgenos inline sin dar rodeos.</t>
  </si>
  <si>
    <t xml:space="preserve">Completa la reserva molecular interactiva rápido.
</t>
  </si>
  <si>
    <t>Tarda más por destreza visual, pero identifica los bloques principales.</t>
  </si>
  <si>
    <t>Requiere ayuda para comprender el icono de trazabilidad, pero lee la ficha.</t>
  </si>
  <si>
    <t>Identifica los puntos de conversión de inmediato gracias al alto contraste de la interfaz. Fijación óptima en los elementos de marca.</t>
  </si>
  <si>
    <t>Encuentra los ingredientes destacados de las hamburguesas sin dificultad de scroll ni sobrecarga cognitiva.</t>
  </si>
  <si>
    <t>Navegación fluida por la landing page; destaca positivamente la jerarquía visual y la organización de los bloques informativos.</t>
  </si>
  <si>
    <t>Accede a la información del producto gourmet y sus alérgenos en menos de 5 segundos.</t>
  </si>
  <si>
    <t>Caso B</t>
  </si>
  <si>
    <t xml:space="preserve">Completada con detalles
</t>
  </si>
  <si>
    <t>Ruptura estética: Títulos del Inicio en MAYÚSCULAS y en la biblioteca en minúsculas.</t>
  </si>
  <si>
    <t>No completada / Abandono</t>
  </si>
  <si>
    <t>Intenta usar un buscador en la biblioteca de productos. Al no existir, se pierde.</t>
  </si>
  <si>
    <t>El botón de reserva NO TIENE FUNCIONALIDAD. El enlace está roto o muerto.</t>
  </si>
  <si>
    <t>Detecta que los productos promocionados en el inicio no coinciden con la biblioteca.</t>
  </si>
  <si>
    <t>Completada con asistencia</t>
  </si>
  <si>
    <t>Encuentra un café específico tras scroll manual masivo debido a la falta de buscador.</t>
  </si>
  <si>
    <t>Hace clic en el botón de reserva repetidamente; no ejecuta ninguna acción.</t>
  </si>
  <si>
    <t>Desorientación por el cambio radical de fuentes tipográficas entre páginas del sitio.</t>
  </si>
  <si>
    <t>Le cuesta asociar los productos de la biblioteca con el estilo visual de la Home.</t>
  </si>
  <si>
    <t>El botón de reserva no responde. El usuario notifica el error en el widget.</t>
  </si>
  <si>
    <t>Nota la falta de correspondencia de elementos informativos entre el inicio y las fichas.</t>
  </si>
  <si>
    <t>Abandona la búsqueda del dulce en la biblioteca al no disponer de filtro ni buscador.</t>
  </si>
  <si>
    <t>Fallo crítico: El botón de reserva es un elemento estático sin enlace funcional.</t>
  </si>
  <si>
    <t>Completada con detalles</t>
  </si>
  <si>
    <t>Se queja del cambio de fuente en los encabezados principales.</t>
  </si>
  <si>
    <t>Encuentra el producto tras un escaneo manual lento de toda la biblioteca.</t>
  </si>
  <si>
    <t>Intenta forzar la acción en el botón de reserva, pero la funcionalidad no existe.</t>
  </si>
  <si>
    <t>Identifica inconsistencia grave de layout entre la Landing y la biblioteca.</t>
  </si>
  <si>
    <t>Crítica la ausencia de barra de búsqueda para agilizar el catálogo de la cafetería.</t>
  </si>
  <si>
    <t>El evento click del botón de reserva está vacío en el código. Conversión imposible.</t>
  </si>
  <si>
    <t>Gran confusión cognitiva por el cambio anárquico de fuentes y tamaños de texto.</t>
  </si>
  <si>
    <t>Se satura al tener que revisar toda la lista manual de productos. No encuentra el precio.</t>
  </si>
  <si>
    <t>El botón no hace nada. La usuaria se frustra y asume que la web está rota.</t>
  </si>
  <si>
    <t>Tarea 1: Navegación Libre y Captura de Atención</t>
  </si>
  <si>
    <t>Tarea 2: Búsqueda Crítica de Información de Producto</t>
  </si>
  <si>
    <t>Tarea 3: Conversión Crítica y Reserva de Mesa</t>
  </si>
  <si>
    <t>RESPUESTAS DE LOS USUARIOS AL CUESTIONARIO SUS</t>
  </si>
  <si>
    <t>Estructura oficial (P1 a P10). El Caso B sufre penalizaciones severas en complejidad (P2), inconsistencia (P6) y confianza (P9).</t>
  </si>
  <si>
    <t>Usuario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</si>
  <si>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</si>
  <si>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</si>
  <si>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</si>
  <si>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</si>
  <si>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</si>
  <si>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</si>
  <si>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</si>
  <si>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</si>
  <si>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</si>
  <si>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Score Final SUS</t>
  </si>
  <si>
    <t>Escala Lingüística / Grado</t>
  </si>
  <si>
    <t>Excelente / Grado A+</t>
  </si>
  <si>
    <t>Bueno / Grado B</t>
  </si>
  <si>
    <t>Bueno/ Aceptable</t>
  </si>
  <si>
    <t>Bueno/Aceptable</t>
  </si>
  <si>
    <t>No aceptable / Pobre / F</t>
  </si>
  <si>
    <t>No aceptable / Crítico / F</t>
  </si>
  <si>
    <t>Aceptable</t>
  </si>
  <si>
    <t>No aceptable / Detestable / F</t>
  </si>
  <si>
    <t>MEDIA CASO A (Nuestra Web — Raíces)</t>
  </si>
  <si>
    <t>Bueno / Elegible</t>
  </si>
  <si>
    <t>MEDIA CASO B (Cafetería — Wax &amp; Wayne)</t>
  </si>
  <si>
    <t>No Aceptable / Crítico</t>
  </si>
  <si>
    <t>INFORME DE ACCESIBILIDAD Y CUMPLIMIENTO (CASO B)</t>
  </si>
  <si>
    <t>Clasificación de fallos graves basados en las directrices WCAG 2.2 AA y la norma legal UNE-EN 301549.</t>
  </si>
  <si>
    <t>Categoría WCAG</t>
  </si>
  <si>
    <t>Defecto de Diseño / Código Detectado</t>
  </si>
  <si>
    <t>Criterio WCAG Incumplido</t>
  </si>
  <si>
    <t>Impacto Directo sobre el Usuario</t>
  </si>
  <si>
    <t>Severidad</t>
  </si>
  <si>
    <t>Acción Correctiva Propuesta</t>
  </si>
  <si>
    <t>Perceptible</t>
  </si>
  <si>
    <t>Inconsistencia tipográfica severa: Los títulos principales de la Home están forzados mediante CSS en letras MAYÚSCULAS sostenidas, mientras que en las secciones internas de la biblioteca cambian radicalmente a minúsculas ordinarias sin justificación jerárquica.</t>
  </si>
  <si>
    <t>Criterio 1.4.4 (Cambio de tamaño de texto) y Pauta 3.2 (Consistencia)</t>
  </si>
  <si>
    <t>Los usuarios con baja agudeza visual, dislexia o dificultades de procesamiento cognitivo experimentan fatiga y desorientación debido a la falta de regularidad de los pesos visuales.</t>
  </si>
  <si>
    <t>Media</t>
  </si>
  <si>
    <t>Homogeneizar las hojas de estilo del sitio. Definir clases CSS globales para los encabezados (`h1`, `h2`) y eliminar la alteración forzada mediante propiedades como `text-transform: uppercase` de forma anárquica.</t>
  </si>
  <si>
    <t>El catálogo completo de productos de la cafetería alojado en la 'biblioteca' carece por completo de un componente de buscador de texto o un filtro por categorías o alérgenos.</t>
  </si>
  <si>
    <t>Criterio 1.3.1 (Información y Relaciones / Estructura)</t>
  </si>
  <si>
    <t>Obliga a los usuarios con discapacidades motoras, cognitivas o que dependan de lectores de pantalla a realizar un scroll manual infinito y ciego para localizar un artículo elemental, destruyendo la eficacia del sitio.</t>
  </si>
  <si>
    <t>Alta</t>
  </si>
  <si>
    <t>Implementar un nodo de entrada `&lt;input type='search'&gt;` con etiquetas WAI-ARIA descriptivas y desarrollar un script JavaScript de filtrado dinámico en tiempo real para segmentar los productos.</t>
  </si>
  <si>
    <t>Operable</t>
  </si>
  <si>
    <t>El botón principal para reservar una mesa en la cafetería carece por completo de funcionalidad interactiva o hipervínculo activo (es un botón muerto o un enlace con href='#').</t>
  </si>
  <si>
    <t>Criterio 2.4.3 (Orden de enfoque) y Criterio 2.4.4 (Propósito de los enlaces)</t>
  </si>
  <si>
    <t>Produce una sensación de bloqueo técnico absoluto. Los usuarios de tecnologías asistivas o navegación por teclado ejecutan la acción principal de conversión de la web sin recibir ningún tipo de respuesta o feedback del sistema.</t>
  </si>
  <si>
    <t>Crítica</t>
  </si>
  <si>
    <t>Programar un modal de captura de datos interactivo con validación de accesibilidad o redirigir de forma efectiva al widget de reservas externo mediante una etiqueta semántica clara.</t>
  </si>
  <si>
    <t>Comprensible</t>
  </si>
  <si>
    <t>Ruptura de la trazabilidad informativa: Los elementos estéticos y nombres promocionados en el inicio de la web (Home) no se corresponden ni guardan relación directa con las fichas o nombres de la biblioteca.</t>
  </si>
  <si>
    <t>Criterio 3.2.4 (Identificación consistente)</t>
  </si>
  <si>
    <t>Genera una sobrecarga cognitiva severa. El usuario no logra descifrar si el café o postre gourmet publicitado en la Landing Page es el mismo que está visualizando bajo otro nombre o disposición en el catálogo.</t>
  </si>
  <si>
    <t>Unificar el naming, las imágenes de referencia y la estructura de metadatos informativos entre el embudo de captación inicial y las fichas técnicas finales de la biblioteca.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</si>
</sst>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1A1209"/>
      <name val="Quattrocento Sans"/>
    </font>
    <font>
      <i/>
      <sz val="10.0"/>
      <color rgb="FF615541"/>
      <name val="Quattrocento Sans"/>
    </font>
    <font>
      <b/>
      <sz val="10.0"/>
      <color rgb="FFF5EDD8"/>
      <name val="Quattrocento Sans"/>
    </font>
    <font>
      <sz val="10.0"/>
      <color rgb="FF000000"/>
      <name val="Quattrocento Sans"/>
    </font>
    <font>
      <sz val="10.0"/>
      <color theme="1"/>
      <name val="Calibri"/>
      <scheme val="minor"/>
    </font>
    <font>
      <color theme="1"/>
      <name val="Calibri"/>
      <scheme val="minor"/>
    </font>
    <font>
      <b/>
      <sz val="10.0"/>
      <color rgb="FF000000"/>
      <name val="Quattrocento Sans"/>
    </font>
    <font>
      <b/>
      <color theme="1"/>
      <name val="Calibri"/>
      <scheme val="minor"/>
    </font>
    <font>
      <sz val="11.0"/>
      <color theme="1"/>
      <name val="Calibri"/>
    </font>
    <font>
      <i/>
      <sz val="10.0"/>
      <color rgb="FF404040"/>
      <name val="Quattrocento Sans"/>
    </font>
    <font>
      <b/>
      <color theme="1"/>
      <name val="Google Sans Text"/>
    </font>
  </fonts>
  <fills count="9">
    <fill>
      <patternFill patternType="none"/>
    </fill>
    <fill>
      <patternFill patternType="lightGray"/>
    </fill>
    <fill>
      <patternFill patternType="solid">
        <fgColor rgb="FF1A1209"/>
        <bgColor rgb="FF1A1209"/>
      </patternFill>
    </fill>
    <fill>
      <patternFill patternType="solid">
        <fgColor rgb="FFFDFBF7"/>
        <bgColor rgb="FFFDFBF7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F9F3E6"/>
        <bgColor rgb="FFF9F3E6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E8C97A"/>
      </left>
      <right style="thin">
        <color rgb="FFE8C97A"/>
      </right>
      <top style="medium">
        <color rgb="FFE8C97A"/>
      </top>
      <bottom style="medium">
        <color rgb="FFE8C97A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2" fillId="4" fontId="7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2" fillId="6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2" fillId="7" fontId="7" numFmtId="0" xfId="0" applyBorder="1" applyFill="1" applyFont="1"/>
    <xf borderId="2" fillId="7" fontId="9" numFmtId="0" xfId="0" applyBorder="1" applyFont="1"/>
    <xf borderId="2" fillId="7" fontId="7" numFmtId="0" xfId="0" applyAlignment="1" applyBorder="1" applyFont="1">
      <alignment horizontal="center" shrinkToFit="0" vertical="center" wrapText="1"/>
    </xf>
    <xf borderId="2" fillId="7" fontId="10" numFmtId="0" xfId="0" applyAlignment="1" applyBorder="1" applyFont="1">
      <alignment horizontal="center" shrinkToFit="0" vertical="center" wrapText="1"/>
    </xf>
    <xf borderId="2" fillId="8" fontId="7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0" fillId="0" fontId="11" numFmtId="0" xfId="0" applyFont="1"/>
    <xf borderId="2" fillId="5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1.0"/>
    <col customWidth="1" min="3" max="3" width="12.0"/>
    <col customWidth="1" min="4" max="4" width="22.0"/>
    <col customWidth="1" min="5" max="5" width="24.0"/>
    <col customWidth="1" min="6" max="6" width="27.0"/>
    <col customWidth="1" min="7" max="7" width="24.0"/>
    <col customWidth="1" min="8" max="8" width="26.0"/>
    <col customWidth="1" min="9" max="9" width="19.0"/>
    <col customWidth="1" min="10" max="10" width="23.0"/>
    <col customWidth="1" min="11" max="11" width="25.0"/>
    <col customWidth="1" min="12" max="26" width="8.71"/>
  </cols>
  <sheetData>
    <row r="1">
      <c r="A1" s="1" t="s">
        <v>0</v>
      </c>
    </row>
    <row r="2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1.75" customHeight="1">
      <c r="A5" s="4" t="s">
        <v>13</v>
      </c>
      <c r="B5" s="4">
        <v>21.0</v>
      </c>
      <c r="C5" s="4" t="s">
        <v>14</v>
      </c>
      <c r="D5" s="4" t="s">
        <v>15</v>
      </c>
      <c r="E5" s="5" t="s">
        <v>16</v>
      </c>
      <c r="F5" s="5" t="s">
        <v>17</v>
      </c>
      <c r="G5" s="4" t="s">
        <v>18</v>
      </c>
      <c r="H5" s="5" t="s">
        <v>19</v>
      </c>
      <c r="I5" s="5" t="s">
        <v>20</v>
      </c>
      <c r="J5" s="4" t="s">
        <v>21</v>
      </c>
      <c r="K5" s="4" t="s">
        <v>22</v>
      </c>
    </row>
    <row r="6" ht="21.75" customHeight="1">
      <c r="A6" s="6" t="s">
        <v>23</v>
      </c>
      <c r="B6" s="6">
        <v>24.0</v>
      </c>
      <c r="C6" s="6" t="s">
        <v>24</v>
      </c>
      <c r="D6" s="6" t="s">
        <v>15</v>
      </c>
      <c r="E6" s="5" t="s">
        <v>16</v>
      </c>
      <c r="F6" s="7" t="s">
        <v>25</v>
      </c>
      <c r="G6" s="8" t="s">
        <v>26</v>
      </c>
      <c r="H6" s="7" t="s">
        <v>27</v>
      </c>
      <c r="I6" s="9" t="s">
        <v>20</v>
      </c>
      <c r="J6" s="6" t="s">
        <v>21</v>
      </c>
      <c r="K6" s="6" t="s">
        <v>22</v>
      </c>
    </row>
    <row r="7" ht="27.0" customHeight="1">
      <c r="A7" s="4" t="s">
        <v>28</v>
      </c>
      <c r="B7" s="4">
        <v>52.0</v>
      </c>
      <c r="C7" s="4" t="s">
        <v>14</v>
      </c>
      <c r="D7" s="4" t="s">
        <v>29</v>
      </c>
      <c r="E7" s="5" t="s">
        <v>16</v>
      </c>
      <c r="F7" s="5" t="s">
        <v>30</v>
      </c>
      <c r="G7" s="10" t="s">
        <v>18</v>
      </c>
      <c r="H7" s="11" t="s">
        <v>31</v>
      </c>
      <c r="I7" s="11" t="s">
        <v>20</v>
      </c>
      <c r="J7" s="4" t="s">
        <v>21</v>
      </c>
      <c r="K7" s="4" t="s">
        <v>22</v>
      </c>
    </row>
    <row r="8" ht="26.25" customHeight="1">
      <c r="A8" s="8" t="s">
        <v>32</v>
      </c>
      <c r="B8" s="8">
        <v>27.0</v>
      </c>
      <c r="C8" s="8" t="s">
        <v>24</v>
      </c>
      <c r="D8" s="8" t="s">
        <v>15</v>
      </c>
      <c r="E8" s="5" t="s">
        <v>16</v>
      </c>
      <c r="F8" s="9" t="s">
        <v>25</v>
      </c>
      <c r="G8" s="8" t="s">
        <v>18</v>
      </c>
      <c r="H8" s="9" t="s">
        <v>33</v>
      </c>
      <c r="I8" s="9" t="s">
        <v>34</v>
      </c>
      <c r="J8" s="4" t="s">
        <v>21</v>
      </c>
      <c r="K8" s="4" t="s">
        <v>22</v>
      </c>
    </row>
    <row r="9" ht="30.0" customHeight="1">
      <c r="A9" s="8" t="s">
        <v>35</v>
      </c>
      <c r="B9" s="8">
        <v>35.0</v>
      </c>
      <c r="C9" s="8" t="s">
        <v>14</v>
      </c>
      <c r="D9" s="8" t="s">
        <v>36</v>
      </c>
      <c r="E9" s="5" t="s">
        <v>16</v>
      </c>
      <c r="F9" s="9" t="s">
        <v>37</v>
      </c>
      <c r="G9" s="8" t="s">
        <v>26</v>
      </c>
      <c r="H9" s="9" t="s">
        <v>38</v>
      </c>
      <c r="I9" s="9" t="s">
        <v>34</v>
      </c>
      <c r="J9" s="4" t="s">
        <v>21</v>
      </c>
      <c r="K9" s="4" t="s">
        <v>22</v>
      </c>
    </row>
    <row r="10" ht="21.75" customHeight="1">
      <c r="A10" s="6" t="s">
        <v>39</v>
      </c>
      <c r="B10" s="6">
        <v>23.0</v>
      </c>
      <c r="C10" s="6" t="s">
        <v>24</v>
      </c>
      <c r="D10" s="6" t="s">
        <v>15</v>
      </c>
      <c r="E10" s="5" t="s">
        <v>16</v>
      </c>
      <c r="F10" s="7" t="s">
        <v>40</v>
      </c>
      <c r="G10" s="6" t="s">
        <v>41</v>
      </c>
      <c r="H10" s="7" t="s">
        <v>42</v>
      </c>
      <c r="I10" s="9" t="s">
        <v>34</v>
      </c>
      <c r="J10" s="6" t="s">
        <v>43</v>
      </c>
      <c r="K10" s="6" t="s">
        <v>44</v>
      </c>
    </row>
    <row r="11" ht="21.75" customHeight="1">
      <c r="A11" s="4" t="s">
        <v>45</v>
      </c>
      <c r="B11" s="4">
        <v>29.0</v>
      </c>
      <c r="C11" s="4" t="s">
        <v>14</v>
      </c>
      <c r="D11" s="4" t="s">
        <v>36</v>
      </c>
      <c r="E11" s="5" t="s">
        <v>16</v>
      </c>
      <c r="F11" s="5" t="s">
        <v>17</v>
      </c>
      <c r="G11" s="4" t="s">
        <v>18</v>
      </c>
      <c r="H11" s="5" t="s">
        <v>46</v>
      </c>
      <c r="I11" s="5" t="s">
        <v>47</v>
      </c>
      <c r="J11" s="4" t="s">
        <v>43</v>
      </c>
      <c r="K11" s="4" t="s">
        <v>44</v>
      </c>
    </row>
    <row r="12" ht="21.75" customHeight="1">
      <c r="A12" s="6" t="s">
        <v>48</v>
      </c>
      <c r="B12" s="6">
        <v>47.0</v>
      </c>
      <c r="C12" s="6" t="s">
        <v>24</v>
      </c>
      <c r="D12" s="6" t="s">
        <v>36</v>
      </c>
      <c r="E12" s="5" t="s">
        <v>16</v>
      </c>
      <c r="F12" s="7" t="s">
        <v>30</v>
      </c>
      <c r="G12" s="8" t="s">
        <v>18</v>
      </c>
      <c r="H12" s="7" t="s">
        <v>49</v>
      </c>
      <c r="I12" s="7" t="s">
        <v>34</v>
      </c>
      <c r="J12" s="6" t="s">
        <v>43</v>
      </c>
      <c r="K12" s="6" t="s">
        <v>44</v>
      </c>
    </row>
    <row r="13" ht="21.75" customHeight="1">
      <c r="A13" s="4" t="s">
        <v>50</v>
      </c>
      <c r="B13" s="4">
        <v>20.0</v>
      </c>
      <c r="C13" s="4" t="s">
        <v>24</v>
      </c>
      <c r="D13" s="4" t="s">
        <v>15</v>
      </c>
      <c r="E13" s="5" t="s">
        <v>16</v>
      </c>
      <c r="F13" s="5" t="s">
        <v>25</v>
      </c>
      <c r="G13" s="4" t="s">
        <v>18</v>
      </c>
      <c r="H13" s="5" t="s">
        <v>51</v>
      </c>
      <c r="I13" s="5" t="s">
        <v>20</v>
      </c>
      <c r="J13" s="4" t="s">
        <v>43</v>
      </c>
      <c r="K13" s="4" t="s">
        <v>44</v>
      </c>
    </row>
    <row r="14" ht="21.75" customHeight="1">
      <c r="A14" s="6" t="s">
        <v>52</v>
      </c>
      <c r="B14" s="8">
        <v>21.0</v>
      </c>
      <c r="C14" s="6" t="s">
        <v>14</v>
      </c>
      <c r="D14" s="8" t="s">
        <v>15</v>
      </c>
      <c r="E14" s="5" t="s">
        <v>16</v>
      </c>
      <c r="F14" s="7" t="s">
        <v>17</v>
      </c>
      <c r="G14" s="8" t="s">
        <v>18</v>
      </c>
      <c r="H14" s="9" t="s">
        <v>53</v>
      </c>
      <c r="I14" s="9" t="s">
        <v>47</v>
      </c>
      <c r="J14" s="6" t="s">
        <v>43</v>
      </c>
      <c r="K14" s="6" t="s">
        <v>44</v>
      </c>
    </row>
    <row r="15" ht="21.75" customHeight="1">
      <c r="A15" s="4" t="s">
        <v>54</v>
      </c>
      <c r="B15" s="10">
        <v>21.0</v>
      </c>
      <c r="C15" s="4" t="s">
        <v>14</v>
      </c>
      <c r="D15" s="4" t="s">
        <v>15</v>
      </c>
      <c r="E15" s="5" t="s">
        <v>16</v>
      </c>
      <c r="F15" s="5" t="s">
        <v>40</v>
      </c>
      <c r="G15" s="4" t="s">
        <v>18</v>
      </c>
      <c r="H15" s="11" t="s">
        <v>53</v>
      </c>
      <c r="I15" s="11" t="s">
        <v>47</v>
      </c>
      <c r="J15" s="4" t="s">
        <v>43</v>
      </c>
      <c r="K15" s="4" t="s">
        <v>44</v>
      </c>
    </row>
    <row r="16" ht="21.75" customHeight="1">
      <c r="A16" s="6" t="s">
        <v>55</v>
      </c>
      <c r="B16" s="6">
        <v>39.0</v>
      </c>
      <c r="C16" s="6" t="s">
        <v>24</v>
      </c>
      <c r="D16" s="6" t="s">
        <v>29</v>
      </c>
      <c r="E16" s="5" t="s">
        <v>16</v>
      </c>
      <c r="F16" s="7" t="s">
        <v>56</v>
      </c>
      <c r="G16" s="8" t="s">
        <v>18</v>
      </c>
      <c r="H16" s="7" t="s">
        <v>57</v>
      </c>
      <c r="I16" s="7" t="s">
        <v>34</v>
      </c>
      <c r="J16" s="6" t="s">
        <v>43</v>
      </c>
      <c r="K16" s="6" t="s">
        <v>44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1.0"/>
    <col customWidth="1" min="3" max="3" width="24.0"/>
    <col customWidth="1" min="4" max="4" width="44.0"/>
    <col customWidth="1" min="5" max="5" width="24.0"/>
    <col customWidth="1" min="6" max="6" width="44.0"/>
    <col customWidth="1" min="7" max="7" width="24.0"/>
    <col customWidth="1" min="8" max="8" width="44.0"/>
    <col customWidth="1" min="9" max="38" width="8.71"/>
  </cols>
  <sheetData>
    <row r="1">
      <c r="A1" s="1" t="s">
        <v>58</v>
      </c>
    </row>
    <row r="2">
      <c r="A2" s="2" t="s">
        <v>59</v>
      </c>
    </row>
    <row r="4" ht="27.75" customHeight="1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</row>
    <row r="5" ht="36.0" customHeight="1">
      <c r="A5" s="4" t="s">
        <v>13</v>
      </c>
      <c r="B5" s="4" t="s">
        <v>68</v>
      </c>
      <c r="C5" s="12" t="s">
        <v>69</v>
      </c>
      <c r="D5" s="5" t="s">
        <v>70</v>
      </c>
      <c r="E5" s="12" t="s">
        <v>69</v>
      </c>
      <c r="F5" s="5" t="s">
        <v>71</v>
      </c>
      <c r="G5" s="12" t="s">
        <v>69</v>
      </c>
      <c r="H5" s="5" t="s">
        <v>72</v>
      </c>
    </row>
    <row r="6" ht="36.0" customHeight="1">
      <c r="A6" s="6" t="s">
        <v>23</v>
      </c>
      <c r="B6" s="6" t="s">
        <v>68</v>
      </c>
      <c r="C6" s="12" t="s">
        <v>69</v>
      </c>
      <c r="D6" s="7" t="s">
        <v>73</v>
      </c>
      <c r="E6" s="12" t="s">
        <v>69</v>
      </c>
      <c r="F6" s="7" t="s">
        <v>74</v>
      </c>
      <c r="G6" s="12" t="s">
        <v>69</v>
      </c>
      <c r="H6" s="9" t="s">
        <v>75</v>
      </c>
    </row>
    <row r="7" ht="36.0" customHeight="1">
      <c r="A7" s="4" t="s">
        <v>28</v>
      </c>
      <c r="B7" s="4" t="s">
        <v>68</v>
      </c>
      <c r="C7" s="12" t="s">
        <v>69</v>
      </c>
      <c r="D7" s="5" t="s">
        <v>76</v>
      </c>
      <c r="E7" s="13" t="s">
        <v>69</v>
      </c>
      <c r="F7" s="5" t="s">
        <v>77</v>
      </c>
      <c r="G7" s="12" t="s">
        <v>69</v>
      </c>
      <c r="H7" s="9" t="s">
        <v>75</v>
      </c>
    </row>
    <row r="8" ht="36.0" customHeight="1">
      <c r="A8" s="8" t="s">
        <v>32</v>
      </c>
      <c r="B8" s="8" t="s">
        <v>68</v>
      </c>
      <c r="C8" s="12" t="s">
        <v>69</v>
      </c>
      <c r="D8" s="9" t="s">
        <v>78</v>
      </c>
      <c r="E8" s="13" t="s">
        <v>69</v>
      </c>
      <c r="F8" s="9" t="s">
        <v>79</v>
      </c>
      <c r="G8" s="12" t="s">
        <v>69</v>
      </c>
      <c r="H8" s="9" t="s">
        <v>75</v>
      </c>
    </row>
    <row r="9" ht="36.0" customHeight="1">
      <c r="A9" s="8" t="s">
        <v>35</v>
      </c>
      <c r="B9" s="8" t="s">
        <v>68</v>
      </c>
      <c r="C9" s="12" t="s">
        <v>69</v>
      </c>
      <c r="D9" s="9" t="s">
        <v>80</v>
      </c>
      <c r="E9" s="13" t="s">
        <v>69</v>
      </c>
      <c r="F9" s="14" t="s">
        <v>81</v>
      </c>
      <c r="G9" s="12" t="s">
        <v>69</v>
      </c>
      <c r="H9" s="9" t="s">
        <v>75</v>
      </c>
    </row>
    <row r="10" ht="36.0" customHeight="1">
      <c r="A10" s="6" t="s">
        <v>39</v>
      </c>
      <c r="B10" s="6" t="s">
        <v>82</v>
      </c>
      <c r="C10" s="15" t="s">
        <v>83</v>
      </c>
      <c r="D10" s="7" t="s">
        <v>84</v>
      </c>
      <c r="E10" s="16" t="s">
        <v>85</v>
      </c>
      <c r="F10" s="7" t="s">
        <v>86</v>
      </c>
      <c r="G10" s="16" t="s">
        <v>85</v>
      </c>
      <c r="H10" s="7" t="s">
        <v>87</v>
      </c>
    </row>
    <row r="11" ht="36.0" customHeight="1">
      <c r="A11" s="4" t="s">
        <v>45</v>
      </c>
      <c r="B11" s="4" t="s">
        <v>82</v>
      </c>
      <c r="C11" s="12" t="s">
        <v>69</v>
      </c>
      <c r="D11" s="5" t="s">
        <v>88</v>
      </c>
      <c r="E11" s="17" t="s">
        <v>89</v>
      </c>
      <c r="F11" s="5" t="s">
        <v>90</v>
      </c>
      <c r="G11" s="16" t="s">
        <v>85</v>
      </c>
      <c r="H11" s="5" t="s">
        <v>91</v>
      </c>
    </row>
    <row r="12" ht="36.0" customHeight="1">
      <c r="A12" s="6" t="s">
        <v>48</v>
      </c>
      <c r="B12" s="6" t="s">
        <v>82</v>
      </c>
      <c r="C12" s="15" t="s">
        <v>83</v>
      </c>
      <c r="D12" s="7" t="s">
        <v>92</v>
      </c>
      <c r="E12" s="17" t="s">
        <v>89</v>
      </c>
      <c r="F12" s="7" t="s">
        <v>93</v>
      </c>
      <c r="G12" s="16" t="s">
        <v>85</v>
      </c>
      <c r="H12" s="7" t="s">
        <v>94</v>
      </c>
    </row>
    <row r="13" ht="36.0" customHeight="1">
      <c r="A13" s="4" t="s">
        <v>50</v>
      </c>
      <c r="B13" s="4" t="s">
        <v>82</v>
      </c>
      <c r="C13" s="12" t="s">
        <v>69</v>
      </c>
      <c r="D13" s="5" t="s">
        <v>95</v>
      </c>
      <c r="E13" s="16" t="s">
        <v>85</v>
      </c>
      <c r="F13" s="5" t="s">
        <v>96</v>
      </c>
      <c r="G13" s="16" t="s">
        <v>85</v>
      </c>
      <c r="H13" s="5" t="s">
        <v>97</v>
      </c>
    </row>
    <row r="14" ht="36.0" customHeight="1">
      <c r="A14" s="6" t="s">
        <v>52</v>
      </c>
      <c r="B14" s="6" t="s">
        <v>82</v>
      </c>
      <c r="C14" s="15" t="s">
        <v>98</v>
      </c>
      <c r="D14" s="9" t="s">
        <v>99</v>
      </c>
      <c r="E14" s="17" t="s">
        <v>89</v>
      </c>
      <c r="F14" s="7" t="s">
        <v>100</v>
      </c>
      <c r="G14" s="16" t="s">
        <v>85</v>
      </c>
      <c r="H14" s="7" t="s">
        <v>101</v>
      </c>
    </row>
    <row r="15" ht="36.0" customHeight="1">
      <c r="A15" s="4" t="s">
        <v>54</v>
      </c>
      <c r="B15" s="4" t="s">
        <v>82</v>
      </c>
      <c r="C15" s="15" t="s">
        <v>83</v>
      </c>
      <c r="D15" s="5" t="s">
        <v>102</v>
      </c>
      <c r="E15" s="17" t="s">
        <v>89</v>
      </c>
      <c r="F15" s="5" t="s">
        <v>103</v>
      </c>
      <c r="G15" s="16" t="s">
        <v>85</v>
      </c>
      <c r="H15" s="5" t="s">
        <v>104</v>
      </c>
    </row>
    <row r="16" ht="36.0" customHeight="1">
      <c r="A16" s="6" t="s">
        <v>55</v>
      </c>
      <c r="B16" s="6" t="s">
        <v>82</v>
      </c>
      <c r="C16" s="15" t="s">
        <v>83</v>
      </c>
      <c r="D16" s="7" t="s">
        <v>105</v>
      </c>
      <c r="E16" s="16" t="s">
        <v>85</v>
      </c>
      <c r="F16" s="7" t="s">
        <v>106</v>
      </c>
      <c r="G16" s="16" t="s">
        <v>85</v>
      </c>
      <c r="H16" s="7" t="s">
        <v>107</v>
      </c>
    </row>
    <row r="18">
      <c r="A18" s="18" t="s">
        <v>108</v>
      </c>
    </row>
    <row r="19">
      <c r="A19" s="18" t="s">
        <v>109</v>
      </c>
    </row>
    <row r="20">
      <c r="A20" s="18" t="s">
        <v>110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12" width="11.0"/>
    <col customWidth="1" min="13" max="13" width="19.0"/>
    <col customWidth="1" min="14" max="14" width="28.0"/>
    <col customWidth="1" min="15" max="38" width="8.71"/>
  </cols>
  <sheetData>
    <row r="1">
      <c r="A1" s="1" t="s">
        <v>111</v>
      </c>
    </row>
    <row r="2">
      <c r="A2" s="2" t="s">
        <v>112</v>
      </c>
    </row>
    <row r="4" ht="27.75" customHeight="1">
      <c r="A4" s="3" t="s">
        <v>113</v>
      </c>
      <c r="B4" s="3" t="s">
        <v>61</v>
      </c>
      <c r="C4" s="3" t="s">
        <v>114</v>
      </c>
      <c r="D4" s="3" t="s">
        <v>115</v>
      </c>
      <c r="E4" s="3" t="s">
        <v>116</v>
      </c>
      <c r="F4" s="3" t="s">
        <v>117</v>
      </c>
      <c r="G4" s="3" t="s">
        <v>118</v>
      </c>
      <c r="H4" s="3" t="s">
        <v>119</v>
      </c>
      <c r="I4" s="3" t="s">
        <v>120</v>
      </c>
      <c r="J4" s="3" t="s">
        <v>121</v>
      </c>
      <c r="K4" s="3" t="s">
        <v>122</v>
      </c>
      <c r="L4" s="3" t="s">
        <v>55</v>
      </c>
      <c r="M4" s="3" t="s">
        <v>123</v>
      </c>
      <c r="N4" s="3" t="s">
        <v>124</v>
      </c>
    </row>
    <row r="5" ht="21.75" customHeight="1">
      <c r="A5" s="4" t="s">
        <v>13</v>
      </c>
      <c r="B5" s="4" t="s">
        <v>68</v>
      </c>
      <c r="C5" s="4">
        <v>5.0</v>
      </c>
      <c r="D5" s="4">
        <v>1.0</v>
      </c>
      <c r="E5" s="4">
        <v>5.0</v>
      </c>
      <c r="F5" s="4">
        <v>1.0</v>
      </c>
      <c r="G5" s="4">
        <v>4.0</v>
      </c>
      <c r="H5" s="4">
        <v>2.0</v>
      </c>
      <c r="I5" s="4">
        <v>5.0</v>
      </c>
      <c r="J5" s="4">
        <v>1.0</v>
      </c>
      <c r="K5" s="4">
        <v>5.0</v>
      </c>
      <c r="L5" s="4">
        <v>1.0</v>
      </c>
      <c r="M5" s="19">
        <v>95.0</v>
      </c>
      <c r="N5" s="4" t="s">
        <v>125</v>
      </c>
    </row>
    <row r="6" ht="21.75" customHeight="1">
      <c r="A6" s="6" t="s">
        <v>23</v>
      </c>
      <c r="B6" s="6" t="s">
        <v>68</v>
      </c>
      <c r="C6" s="6">
        <v>4.0</v>
      </c>
      <c r="D6" s="6">
        <v>2.0</v>
      </c>
      <c r="E6" s="6">
        <v>4.0</v>
      </c>
      <c r="F6" s="6">
        <v>2.0</v>
      </c>
      <c r="G6" s="6">
        <v>4.0</v>
      </c>
      <c r="H6" s="6">
        <v>1.0</v>
      </c>
      <c r="I6" s="6">
        <v>4.0</v>
      </c>
      <c r="J6" s="6">
        <v>2.0</v>
      </c>
      <c r="K6" s="6">
        <v>4.0</v>
      </c>
      <c r="L6" s="6">
        <v>2.0</v>
      </c>
      <c r="M6" s="19">
        <v>82.5</v>
      </c>
      <c r="N6" s="6" t="s">
        <v>126</v>
      </c>
    </row>
    <row r="7" ht="21.75" customHeight="1">
      <c r="A7" s="4" t="s">
        <v>28</v>
      </c>
      <c r="B7" s="4" t="s">
        <v>68</v>
      </c>
      <c r="C7" s="4">
        <v>4.0</v>
      </c>
      <c r="D7" s="10">
        <v>2.0</v>
      </c>
      <c r="E7" s="10">
        <v>4.0</v>
      </c>
      <c r="F7" s="10">
        <v>2.0</v>
      </c>
      <c r="G7" s="4">
        <v>4.0</v>
      </c>
      <c r="H7" s="4">
        <v>2.0</v>
      </c>
      <c r="I7" s="4">
        <v>4.0</v>
      </c>
      <c r="J7" s="10">
        <v>1.0</v>
      </c>
      <c r="K7" s="4">
        <v>3.0</v>
      </c>
      <c r="L7" s="10">
        <v>1.0</v>
      </c>
      <c r="M7" s="20">
        <v>77.5</v>
      </c>
      <c r="N7" s="10" t="s">
        <v>127</v>
      </c>
    </row>
    <row r="8" ht="21.75" customHeight="1">
      <c r="A8" s="8" t="s">
        <v>32</v>
      </c>
      <c r="B8" s="8" t="s">
        <v>68</v>
      </c>
      <c r="C8" s="21">
        <v>4.0</v>
      </c>
      <c r="D8" s="21">
        <v>1.0</v>
      </c>
      <c r="E8" s="21">
        <v>4.0</v>
      </c>
      <c r="F8" s="21">
        <v>2.0</v>
      </c>
      <c r="G8" s="21">
        <v>4.0</v>
      </c>
      <c r="H8" s="21">
        <v>2.0</v>
      </c>
      <c r="I8" s="21">
        <v>5.0</v>
      </c>
      <c r="J8" s="21">
        <v>2.0</v>
      </c>
      <c r="K8" s="21">
        <v>4.0</v>
      </c>
      <c r="L8" s="21">
        <v>1.0</v>
      </c>
      <c r="M8" s="22">
        <v>85.0</v>
      </c>
      <c r="N8" s="21" t="s">
        <v>128</v>
      </c>
    </row>
    <row r="9" ht="21.75" customHeight="1">
      <c r="A9" s="8" t="s">
        <v>35</v>
      </c>
      <c r="B9" s="8" t="s">
        <v>68</v>
      </c>
      <c r="C9" s="21">
        <v>5.0</v>
      </c>
      <c r="D9" s="21">
        <v>2.0</v>
      </c>
      <c r="E9" s="21">
        <v>4.0</v>
      </c>
      <c r="F9" s="21">
        <v>1.0</v>
      </c>
      <c r="G9" s="21">
        <v>4.0</v>
      </c>
      <c r="H9" s="21">
        <v>2.0</v>
      </c>
      <c r="I9" s="21">
        <v>4.0</v>
      </c>
      <c r="J9" s="21">
        <v>2.0</v>
      </c>
      <c r="K9" s="21">
        <v>4.0</v>
      </c>
      <c r="L9" s="21">
        <v>2.0</v>
      </c>
      <c r="M9" s="22">
        <v>80.0</v>
      </c>
      <c r="N9" s="21" t="s">
        <v>128</v>
      </c>
    </row>
    <row r="10" ht="21.75" customHeight="1">
      <c r="A10" s="6" t="s">
        <v>39</v>
      </c>
      <c r="B10" s="6" t="s">
        <v>82</v>
      </c>
      <c r="C10" s="6">
        <v>2.0</v>
      </c>
      <c r="D10" s="6">
        <v>4.0</v>
      </c>
      <c r="E10" s="6">
        <v>2.0</v>
      </c>
      <c r="F10" s="6">
        <v>4.0</v>
      </c>
      <c r="G10" s="6">
        <v>2.0</v>
      </c>
      <c r="H10" s="6">
        <v>5.0</v>
      </c>
      <c r="I10" s="6">
        <v>3.0</v>
      </c>
      <c r="J10" s="6">
        <v>4.0</v>
      </c>
      <c r="K10" s="6">
        <v>2.0</v>
      </c>
      <c r="L10" s="6">
        <v>4.0</v>
      </c>
      <c r="M10" s="23">
        <v>25.0</v>
      </c>
      <c r="N10" s="6" t="s">
        <v>129</v>
      </c>
    </row>
    <row r="11" ht="21.75" customHeight="1">
      <c r="A11" s="4" t="s">
        <v>45</v>
      </c>
      <c r="B11" s="6" t="s">
        <v>82</v>
      </c>
      <c r="C11" s="6">
        <v>2.0</v>
      </c>
      <c r="D11" s="6">
        <v>4.0</v>
      </c>
      <c r="E11" s="6">
        <v>3.0</v>
      </c>
      <c r="F11" s="6">
        <v>3.0</v>
      </c>
      <c r="G11" s="6">
        <v>3.0</v>
      </c>
      <c r="H11" s="6">
        <v>4.0</v>
      </c>
      <c r="I11" s="6">
        <v>2.0</v>
      </c>
      <c r="J11" s="6">
        <v>4.0</v>
      </c>
      <c r="K11" s="6">
        <v>2.0</v>
      </c>
      <c r="L11" s="6">
        <v>4.0</v>
      </c>
      <c r="M11" s="23">
        <v>37.5</v>
      </c>
      <c r="N11" s="4" t="s">
        <v>129</v>
      </c>
    </row>
    <row r="12" ht="21.75" customHeight="1">
      <c r="A12" s="6" t="s">
        <v>48</v>
      </c>
      <c r="B12" s="6" t="s">
        <v>82</v>
      </c>
      <c r="C12" s="6">
        <v>2.0</v>
      </c>
      <c r="D12" s="6">
        <v>5.0</v>
      </c>
      <c r="E12" s="6">
        <v>2.0</v>
      </c>
      <c r="F12" s="6">
        <v>4.0</v>
      </c>
      <c r="G12" s="6">
        <v>1.0</v>
      </c>
      <c r="H12" s="6">
        <v>5.0</v>
      </c>
      <c r="I12" s="6">
        <v>2.0</v>
      </c>
      <c r="J12" s="6">
        <v>5.0</v>
      </c>
      <c r="K12" s="6">
        <v>1.0</v>
      </c>
      <c r="L12" s="6">
        <v>5.0</v>
      </c>
      <c r="M12" s="23">
        <v>15.0</v>
      </c>
      <c r="N12" s="6" t="s">
        <v>130</v>
      </c>
    </row>
    <row r="13" ht="21.75" customHeight="1">
      <c r="A13" s="4" t="s">
        <v>50</v>
      </c>
      <c r="B13" s="4" t="s">
        <v>82</v>
      </c>
      <c r="C13" s="4">
        <v>1.0</v>
      </c>
      <c r="D13" s="4">
        <v>4.0</v>
      </c>
      <c r="E13" s="4">
        <v>2.0</v>
      </c>
      <c r="F13" s="4">
        <v>4.0</v>
      </c>
      <c r="G13" s="4">
        <v>2.0</v>
      </c>
      <c r="H13" s="4">
        <v>4.0</v>
      </c>
      <c r="I13" s="4">
        <v>3.0</v>
      </c>
      <c r="J13" s="4">
        <v>4.0</v>
      </c>
      <c r="K13" s="4">
        <v>2.0</v>
      </c>
      <c r="L13" s="4">
        <v>3.0</v>
      </c>
      <c r="M13" s="23">
        <v>25.0</v>
      </c>
      <c r="N13" s="4" t="s">
        <v>129</v>
      </c>
    </row>
    <row r="14" ht="21.75" customHeight="1">
      <c r="A14" s="6" t="s">
        <v>52</v>
      </c>
      <c r="B14" s="4" t="s">
        <v>82</v>
      </c>
      <c r="C14" s="24">
        <v>3.0</v>
      </c>
      <c r="D14" s="24">
        <v>3.0</v>
      </c>
      <c r="E14" s="24">
        <v>4.0</v>
      </c>
      <c r="F14" s="24">
        <v>3.0</v>
      </c>
      <c r="G14" s="24">
        <v>3.0</v>
      </c>
      <c r="H14" s="24">
        <v>3.0</v>
      </c>
      <c r="I14" s="24">
        <v>3.0</v>
      </c>
      <c r="J14" s="24">
        <v>3.0</v>
      </c>
      <c r="K14" s="24">
        <v>3.0</v>
      </c>
      <c r="L14" s="24">
        <v>3.0</v>
      </c>
      <c r="M14" s="25">
        <v>57.5</v>
      </c>
      <c r="N14" s="8" t="s">
        <v>131</v>
      </c>
    </row>
    <row r="15" ht="21.75" customHeight="1">
      <c r="A15" s="4" t="s">
        <v>54</v>
      </c>
      <c r="B15" s="4" t="s">
        <v>82</v>
      </c>
      <c r="C15" s="24">
        <v>4.0</v>
      </c>
      <c r="D15" s="24">
        <v>3.0</v>
      </c>
      <c r="E15" s="24">
        <v>3.0</v>
      </c>
      <c r="F15" s="24">
        <v>2.0</v>
      </c>
      <c r="G15" s="24">
        <v>3.0</v>
      </c>
      <c r="H15" s="24">
        <v>3.0</v>
      </c>
      <c r="I15" s="24">
        <v>4.0</v>
      </c>
      <c r="J15" s="24">
        <v>3.0</v>
      </c>
      <c r="K15" s="24">
        <v>3.0</v>
      </c>
      <c r="L15" s="24">
        <v>3.0</v>
      </c>
      <c r="M15" s="25">
        <v>57.5</v>
      </c>
      <c r="N15" s="10" t="s">
        <v>131</v>
      </c>
    </row>
    <row r="16" ht="21.75" customHeight="1">
      <c r="A16" s="6" t="s">
        <v>55</v>
      </c>
      <c r="B16" s="6" t="s">
        <v>82</v>
      </c>
      <c r="C16" s="6">
        <v>1.0</v>
      </c>
      <c r="D16" s="6">
        <v>5.0</v>
      </c>
      <c r="E16" s="6">
        <v>1.0</v>
      </c>
      <c r="F16" s="6">
        <v>5.0</v>
      </c>
      <c r="G16" s="6">
        <v>1.0</v>
      </c>
      <c r="H16" s="6">
        <v>5.0</v>
      </c>
      <c r="I16" s="6">
        <v>1.0</v>
      </c>
      <c r="J16" s="6">
        <v>5.0</v>
      </c>
      <c r="K16" s="6">
        <v>1.0</v>
      </c>
      <c r="L16" s="6">
        <v>5.0</v>
      </c>
      <c r="M16" s="23">
        <v>0.0</v>
      </c>
      <c r="N16" s="6" t="s">
        <v>132</v>
      </c>
    </row>
    <row r="17" ht="24.0" customHeight="1">
      <c r="A17" s="26" t="s">
        <v>133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>
        <f>AVERAGE(M5:M9)</f>
        <v>84</v>
      </c>
      <c r="N17" s="29" t="s">
        <v>134</v>
      </c>
    </row>
    <row r="18" ht="24.0" customHeight="1">
      <c r="A18" s="26" t="s">
        <v>135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>
        <f>AVERAGE(M10:M16)</f>
        <v>31.07142857</v>
      </c>
      <c r="N18" s="29" t="s">
        <v>136</v>
      </c>
    </row>
    <row r="20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30"/>
    </row>
    <row r="23" ht="15.75" customHeight="1">
      <c r="A23" s="31"/>
    </row>
    <row r="24" ht="15.75" customHeight="1">
      <c r="A24" s="32"/>
    </row>
    <row r="25" ht="15.75" customHeight="1">
      <c r="A25" s="3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44.0"/>
    <col customWidth="1" min="3" max="3" width="80.0"/>
    <col customWidth="1" min="4" max="4" width="44.0"/>
    <col customWidth="1" min="5" max="5" width="12.0"/>
    <col customWidth="1" min="6" max="6" width="54.0"/>
    <col customWidth="1" min="7" max="26" width="8.71"/>
  </cols>
  <sheetData>
    <row r="1">
      <c r="A1" s="1" t="s">
        <v>137</v>
      </c>
    </row>
    <row r="2">
      <c r="A2" s="2" t="s">
        <v>138</v>
      </c>
    </row>
    <row r="4" ht="27.75" customHeight="1">
      <c r="A4" s="3" t="s">
        <v>139</v>
      </c>
      <c r="B4" s="3" t="s">
        <v>140</v>
      </c>
      <c r="C4" s="3" t="s">
        <v>141</v>
      </c>
      <c r="D4" s="3" t="s">
        <v>142</v>
      </c>
      <c r="E4" s="3" t="s">
        <v>143</v>
      </c>
      <c r="F4" s="3" t="s">
        <v>144</v>
      </c>
    </row>
    <row r="5" ht="72.0" customHeight="1">
      <c r="A5" s="4" t="s">
        <v>145</v>
      </c>
      <c r="B5" s="5" t="s">
        <v>146</v>
      </c>
      <c r="C5" s="4" t="s">
        <v>147</v>
      </c>
      <c r="D5" s="5" t="s">
        <v>148</v>
      </c>
      <c r="E5" s="33" t="s">
        <v>149</v>
      </c>
      <c r="F5" s="5" t="s">
        <v>150</v>
      </c>
    </row>
    <row r="6">
      <c r="A6" s="6" t="s">
        <v>145</v>
      </c>
      <c r="B6" s="7" t="s">
        <v>151</v>
      </c>
      <c r="C6" s="6" t="s">
        <v>152</v>
      </c>
      <c r="D6" s="7" t="s">
        <v>153</v>
      </c>
      <c r="E6" s="23" t="s">
        <v>154</v>
      </c>
      <c r="F6" s="7" t="s">
        <v>155</v>
      </c>
    </row>
    <row r="7" ht="70.5" customHeight="1">
      <c r="A7" s="4" t="s">
        <v>156</v>
      </c>
      <c r="B7" s="5" t="s">
        <v>157</v>
      </c>
      <c r="C7" s="4" t="s">
        <v>158</v>
      </c>
      <c r="D7" s="5" t="s">
        <v>159</v>
      </c>
      <c r="E7" s="23" t="s">
        <v>160</v>
      </c>
      <c r="F7" s="5" t="s">
        <v>161</v>
      </c>
    </row>
    <row r="8" ht="63.75" customHeight="1">
      <c r="A8" s="6" t="s">
        <v>162</v>
      </c>
      <c r="B8" s="7" t="s">
        <v>163</v>
      </c>
      <c r="C8" s="6" t="s">
        <v>164</v>
      </c>
      <c r="D8" s="7" t="s">
        <v>165</v>
      </c>
      <c r="E8" s="33" t="s">
        <v>149</v>
      </c>
      <c r="F8" s="7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5">
    <cfRule type="notContainsBlanks" dxfId="0" priority="1">
      <formula>LEN(TRIM(G5))&gt;0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2026-05-27T13:55:33Z</dcterms:created>
  <dc:creator>openpyxl</dc:creator>
</cp:coreProperties>
</file>